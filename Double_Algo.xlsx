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23132\Desktop\EE590-2\"/>
    </mc:Choice>
  </mc:AlternateContent>
  <xr:revisionPtr revIDLastSave="0" documentId="13_ncr:1_{0F3504F4-E38E-40BF-8C6C-0D794E852F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L12" i="1"/>
  <c r="H12" i="1"/>
  <c r="D12" i="1"/>
  <c r="L11" i="1"/>
  <c r="H11" i="1"/>
  <c r="D11" i="1"/>
  <c r="L10" i="1"/>
  <c r="H10" i="1"/>
  <c r="D10" i="1"/>
  <c r="L9" i="1"/>
  <c r="H9" i="1"/>
  <c r="D9" i="1"/>
  <c r="L8" i="1"/>
  <c r="L7" i="1"/>
  <c r="L6" i="1"/>
  <c r="L5" i="1"/>
  <c r="L4" i="1"/>
  <c r="L3" i="1"/>
  <c r="D3" i="1"/>
  <c r="D4" i="1"/>
  <c r="D5" i="1"/>
  <c r="D6" i="1"/>
  <c r="D7" i="1"/>
  <c r="D8" i="1"/>
  <c r="H3" i="1"/>
  <c r="H4" i="1"/>
  <c r="H5" i="1"/>
  <c r="H6" i="1"/>
  <c r="H7" i="1"/>
  <c r="H8" i="1"/>
  <c r="H2" i="1"/>
  <c r="D2" i="1"/>
</calcChain>
</file>

<file path=xl/sharedStrings.xml><?xml version="1.0" encoding="utf-8"?>
<sst xmlns="http://schemas.openxmlformats.org/spreadsheetml/2006/main" count="26" uniqueCount="22">
  <si>
    <t>benchmark</t>
  </si>
  <si>
    <t>Depth</t>
  </si>
  <si>
    <t>Width</t>
  </si>
  <si>
    <t>Cells</t>
  </si>
  <si>
    <t>Width_Optimization</t>
  </si>
  <si>
    <t>Double Algorithm</t>
  </si>
  <si>
    <t>c432</t>
  </si>
  <si>
    <t>c499</t>
  </si>
  <si>
    <t>c880</t>
  </si>
  <si>
    <t>c1355</t>
  </si>
  <si>
    <t>c1908</t>
  </si>
  <si>
    <t>c2670</t>
  </si>
  <si>
    <t>D</t>
  </si>
  <si>
    <t>W</t>
  </si>
  <si>
    <t>Original</t>
  </si>
  <si>
    <t>counter16</t>
  </si>
  <si>
    <t>counter32</t>
  </si>
  <si>
    <t>counter64</t>
  </si>
  <si>
    <t>counter128</t>
  </si>
  <si>
    <t xml:space="preserve"> = </t>
  </si>
  <si>
    <t>Ratio</t>
  </si>
  <si>
    <t>Cell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</si>
</sst>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Area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Width Optimized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10"/>
                <c:pt idx="0">
                  <c:v>c432</c:v>
                </c:pt>
                <c:pt idx="1">
                  <c:v>c499</c:v>
                </c:pt>
                <c:pt idx="2">
                  <c:v>c880</c:v>
                </c:pt>
                <c:pt idx="3">
                  <c:v>c1355</c:v>
                </c:pt>
                <c:pt idx="4">
                  <c:v>c1908</c:v>
                </c:pt>
                <c:pt idx="5">
                  <c:v>c2670</c:v>
                </c:pt>
                <c:pt idx="6">
                  <c:v>counter16</c:v>
                </c:pt>
                <c:pt idx="7">
                  <c:v>counter32</c:v>
                </c:pt>
                <c:pt idx="8">
                  <c:v>counter64</c:v>
                </c:pt>
                <c:pt idx="9">
                  <c:v>counter128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669.53</c:v>
                </c:pt>
                <c:pt idx="1">
                  <c:v>1518</c:v>
                </c:pt>
                <c:pt idx="2">
                  <c:v>2814</c:v>
                </c:pt>
                <c:pt idx="3">
                  <c:v>1474.1100000000001</c:v>
                </c:pt>
                <c:pt idx="4">
                  <c:v>1455.87</c:v>
                </c:pt>
                <c:pt idx="5">
                  <c:v>2066.77</c:v>
                </c:pt>
                <c:pt idx="6">
                  <c:v>124.74</c:v>
                </c:pt>
                <c:pt idx="7">
                  <c:v>308</c:v>
                </c:pt>
                <c:pt idx="8">
                  <c:v>770</c:v>
                </c:pt>
                <c:pt idx="9">
                  <c:v>1892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F-4A9F-84B6-CFDC8B5A668D}"/>
            </c:ext>
          </c:extLst>
        </c:ser>
        <c:ser>
          <c:idx val="1"/>
          <c:order val="1"/>
          <c:tx>
            <c:v>Double Optimized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10"/>
                <c:pt idx="0">
                  <c:v>c432</c:v>
                </c:pt>
                <c:pt idx="1">
                  <c:v>c499</c:v>
                </c:pt>
                <c:pt idx="2">
                  <c:v>c880</c:v>
                </c:pt>
                <c:pt idx="3">
                  <c:v>c1355</c:v>
                </c:pt>
                <c:pt idx="4">
                  <c:v>c1908</c:v>
                </c:pt>
                <c:pt idx="5">
                  <c:v>c2670</c:v>
                </c:pt>
                <c:pt idx="6">
                  <c:v>counter16</c:v>
                </c:pt>
                <c:pt idx="7">
                  <c:v>counter32</c:v>
                </c:pt>
                <c:pt idx="8">
                  <c:v>counter64</c:v>
                </c:pt>
                <c:pt idx="9">
                  <c:v>counter128</c:v>
                </c:pt>
              </c:strCache>
            </c:strRef>
          </c:cat>
          <c:val>
            <c:numRef>
              <c:f>Sheet1!$H$3:$H$12</c:f>
              <c:numCache>
                <c:formatCode>General</c:formatCode>
                <c:ptCount val="10"/>
                <c:pt idx="0">
                  <c:v>656</c:v>
                </c:pt>
                <c:pt idx="1">
                  <c:v>1474.1100000000001</c:v>
                </c:pt>
                <c:pt idx="2">
                  <c:v>1710</c:v>
                </c:pt>
                <c:pt idx="3">
                  <c:v>1474.1100000000001</c:v>
                </c:pt>
                <c:pt idx="4">
                  <c:v>1287</c:v>
                </c:pt>
                <c:pt idx="5">
                  <c:v>2066.77</c:v>
                </c:pt>
                <c:pt idx="6">
                  <c:v>124.74</c:v>
                </c:pt>
                <c:pt idx="7">
                  <c:v>308</c:v>
                </c:pt>
                <c:pt idx="8">
                  <c:v>770</c:v>
                </c:pt>
                <c:pt idx="9">
                  <c:v>1892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4-49D1-AD0D-96706F67CB22}"/>
            </c:ext>
          </c:extLst>
        </c:ser>
        <c:ser>
          <c:idx val="2"/>
          <c:order val="2"/>
          <c:tx>
            <c:v>Original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10"/>
                <c:pt idx="0">
                  <c:v>c432</c:v>
                </c:pt>
                <c:pt idx="1">
                  <c:v>c499</c:v>
                </c:pt>
                <c:pt idx="2">
                  <c:v>c880</c:v>
                </c:pt>
                <c:pt idx="3">
                  <c:v>c1355</c:v>
                </c:pt>
                <c:pt idx="4">
                  <c:v>c1908</c:v>
                </c:pt>
                <c:pt idx="5">
                  <c:v>c2670</c:v>
                </c:pt>
                <c:pt idx="6">
                  <c:v>counter16</c:v>
                </c:pt>
                <c:pt idx="7">
                  <c:v>counter32</c:v>
                </c:pt>
                <c:pt idx="8">
                  <c:v>counter64</c:v>
                </c:pt>
                <c:pt idx="9">
                  <c:v>counter128</c:v>
                </c:pt>
              </c:strCache>
            </c:strRef>
          </c:cat>
          <c:val>
            <c:numRef>
              <c:f>Sheet1!$L$3:$L$12</c:f>
              <c:numCache>
                <c:formatCode>General</c:formatCode>
                <c:ptCount val="10"/>
                <c:pt idx="0">
                  <c:v>738</c:v>
                </c:pt>
                <c:pt idx="1">
                  <c:v>2314.56</c:v>
                </c:pt>
                <c:pt idx="2">
                  <c:v>1819.86</c:v>
                </c:pt>
                <c:pt idx="3">
                  <c:v>2314.56</c:v>
                </c:pt>
                <c:pt idx="4">
                  <c:v>1532.54</c:v>
                </c:pt>
                <c:pt idx="5">
                  <c:v>2079.9</c:v>
                </c:pt>
                <c:pt idx="6">
                  <c:v>152</c:v>
                </c:pt>
                <c:pt idx="7">
                  <c:v>400</c:v>
                </c:pt>
                <c:pt idx="8">
                  <c:v>1024</c:v>
                </c:pt>
                <c:pt idx="9">
                  <c:v>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54-49D1-AD0D-96706F67C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523311"/>
        <c:axId val="1748523791"/>
      </c:barChart>
      <c:catAx>
        <c:axId val="174852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23791"/>
        <c:crosses val="autoZero"/>
        <c:auto val="1"/>
        <c:lblAlgn val="ctr"/>
        <c:lblOffset val="100"/>
        <c:noMultiLvlLbl val="0"/>
      </c:catAx>
      <c:valAx>
        <c:axId val="17485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2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Cells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Width Optimized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10"/>
                <c:pt idx="0">
                  <c:v>c432</c:v>
                </c:pt>
                <c:pt idx="1">
                  <c:v>c499</c:v>
                </c:pt>
                <c:pt idx="2">
                  <c:v>c880</c:v>
                </c:pt>
                <c:pt idx="3">
                  <c:v>c1355</c:v>
                </c:pt>
                <c:pt idx="4">
                  <c:v>c1908</c:v>
                </c:pt>
                <c:pt idx="5">
                  <c:v>c2670</c:v>
                </c:pt>
                <c:pt idx="6">
                  <c:v>counter16</c:v>
                </c:pt>
                <c:pt idx="7">
                  <c:v>counter32</c:v>
                </c:pt>
                <c:pt idx="8">
                  <c:v>counter64</c:v>
                </c:pt>
                <c:pt idx="9">
                  <c:v>counter128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1123</c:v>
                </c:pt>
                <c:pt idx="1">
                  <c:v>2604</c:v>
                </c:pt>
                <c:pt idx="2">
                  <c:v>2172</c:v>
                </c:pt>
                <c:pt idx="3">
                  <c:v>2685</c:v>
                </c:pt>
                <c:pt idx="4">
                  <c:v>2462</c:v>
                </c:pt>
                <c:pt idx="5">
                  <c:v>3317</c:v>
                </c:pt>
                <c:pt idx="6">
                  <c:v>179</c:v>
                </c:pt>
                <c:pt idx="7">
                  <c:v>444</c:v>
                </c:pt>
                <c:pt idx="8">
                  <c:v>902</c:v>
                </c:pt>
                <c:pt idx="9">
                  <c:v>1934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C-490D-B9FD-9EFBEA0285C4}"/>
            </c:ext>
          </c:extLst>
        </c:ser>
        <c:ser>
          <c:idx val="1"/>
          <c:order val="1"/>
          <c:tx>
            <c:v>Double Optimized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10"/>
                <c:pt idx="0">
                  <c:v>c432</c:v>
                </c:pt>
                <c:pt idx="1">
                  <c:v>c499</c:v>
                </c:pt>
                <c:pt idx="2">
                  <c:v>c880</c:v>
                </c:pt>
                <c:pt idx="3">
                  <c:v>c1355</c:v>
                </c:pt>
                <c:pt idx="4">
                  <c:v>c1908</c:v>
                </c:pt>
                <c:pt idx="5">
                  <c:v>c2670</c:v>
                </c:pt>
                <c:pt idx="6">
                  <c:v>counter16</c:v>
                </c:pt>
                <c:pt idx="7">
                  <c:v>counter32</c:v>
                </c:pt>
                <c:pt idx="8">
                  <c:v>counter64</c:v>
                </c:pt>
                <c:pt idx="9">
                  <c:v>counter128</c:v>
                </c:pt>
              </c:strCache>
            </c:strRef>
          </c:cat>
          <c:val>
            <c:numRef>
              <c:f>Sheet1!$I$3:$I$12</c:f>
              <c:numCache>
                <c:formatCode>General</c:formatCode>
                <c:ptCount val="10"/>
                <c:pt idx="0">
                  <c:v>1079</c:v>
                </c:pt>
                <c:pt idx="1">
                  <c:v>2594</c:v>
                </c:pt>
                <c:pt idx="2">
                  <c:v>1729</c:v>
                </c:pt>
                <c:pt idx="3">
                  <c:v>2679</c:v>
                </c:pt>
                <c:pt idx="4">
                  <c:v>2310</c:v>
                </c:pt>
                <c:pt idx="5">
                  <c:v>1978</c:v>
                </c:pt>
                <c:pt idx="6">
                  <c:v>179</c:v>
                </c:pt>
                <c:pt idx="7">
                  <c:v>444</c:v>
                </c:pt>
                <c:pt idx="8">
                  <c:v>902</c:v>
                </c:pt>
                <c:pt idx="9">
                  <c:v>1934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6-4275-9D94-95CA8477C241}"/>
            </c:ext>
          </c:extLst>
        </c:ser>
        <c:ser>
          <c:idx val="2"/>
          <c:order val="2"/>
          <c:tx>
            <c:v>Original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10"/>
                <c:pt idx="0">
                  <c:v>c432</c:v>
                </c:pt>
                <c:pt idx="1">
                  <c:v>c499</c:v>
                </c:pt>
                <c:pt idx="2">
                  <c:v>c880</c:v>
                </c:pt>
                <c:pt idx="3">
                  <c:v>c1355</c:v>
                </c:pt>
                <c:pt idx="4">
                  <c:v>c1908</c:v>
                </c:pt>
                <c:pt idx="5">
                  <c:v>c2670</c:v>
                </c:pt>
                <c:pt idx="6">
                  <c:v>counter16</c:v>
                </c:pt>
                <c:pt idx="7">
                  <c:v>counter32</c:v>
                </c:pt>
                <c:pt idx="8">
                  <c:v>counter64</c:v>
                </c:pt>
                <c:pt idx="9">
                  <c:v>counter128</c:v>
                </c:pt>
              </c:strCache>
            </c:strRef>
          </c:cat>
          <c:val>
            <c:numRef>
              <c:f>Sheet1!$M$3:$M$12</c:f>
              <c:numCache>
                <c:formatCode>General</c:formatCode>
                <c:ptCount val="10"/>
                <c:pt idx="0">
                  <c:v>1050</c:v>
                </c:pt>
                <c:pt idx="1">
                  <c:v>2546</c:v>
                </c:pt>
                <c:pt idx="2">
                  <c:v>2048</c:v>
                </c:pt>
                <c:pt idx="3">
                  <c:v>2551</c:v>
                </c:pt>
                <c:pt idx="4">
                  <c:v>2269</c:v>
                </c:pt>
                <c:pt idx="5">
                  <c:v>1880</c:v>
                </c:pt>
                <c:pt idx="6">
                  <c:v>126</c:v>
                </c:pt>
                <c:pt idx="7">
                  <c:v>304</c:v>
                </c:pt>
                <c:pt idx="8">
                  <c:v>680</c:v>
                </c:pt>
                <c:pt idx="9">
                  <c:v>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6-4275-9D94-95CA8477C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7361375"/>
        <c:axId val="1747361855"/>
      </c:barChart>
      <c:catAx>
        <c:axId val="174736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61855"/>
        <c:crosses val="autoZero"/>
        <c:auto val="1"/>
        <c:lblAlgn val="ctr"/>
        <c:lblOffset val="100"/>
        <c:noMultiLvlLbl val="0"/>
      </c:catAx>
      <c:valAx>
        <c:axId val="174736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6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92074</xdr:colOff>
      <xdr:row>16</xdr:row>
      <xdr:rowOff>28574</xdr:rowOff>
    </xdr:from>
    <xdr:to>
      <xdr:col>10</xdr:col>
      <xdr:colOff>482599</xdr:colOff>
      <xdr:row>32</xdr:row>
      <xdr:rowOff>107949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B80CA55-AF22-1DAC-332D-BE36B35E8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212724</xdr:colOff>
      <xdr:row>15</xdr:row>
      <xdr:rowOff>9524</xdr:rowOff>
    </xdr:from>
    <xdr:to>
      <xdr:col>21</xdr:col>
      <xdr:colOff>311149</xdr:colOff>
      <xdr:row>31</xdr:row>
      <xdr:rowOff>158749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12A71DA-2062-9D97-4A9C-C2CE4018E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Q8" sqref="Q8"/>
    </sheetView>
  </sheetViews>
  <sheetFormatPr defaultRowHeight="14.5" x14ac:dyDescent="0.35"/>
  <sheetData>
    <row r="1" spans="1:15" x14ac:dyDescent="0.35">
      <c r="B1" t="s">
        <v>4</v>
      </c>
      <c r="F1" t="s">
        <v>5</v>
      </c>
      <c r="J1" t="s">
        <v>14</v>
      </c>
      <c r="N1" t="s">
        <v>19</v>
      </c>
    </row>
    <row r="2" spans="1:15" x14ac:dyDescent="0.35">
      <c r="A2" t="s">
        <v>0</v>
      </c>
      <c r="B2" t="s">
        <v>1</v>
      </c>
      <c r="C2" t="s">
        <v>2</v>
      </c>
      <c r="D2" t="e">
        <f xml:space="preserve"> B:B*C:C</f>
        <v>#VALUE!</v>
      </c>
      <c r="E2" t="s">
        <v>3</v>
      </c>
      <c r="F2" t="s">
        <v>1</v>
      </c>
      <c r="G2" t="s">
        <v>2</v>
      </c>
      <c r="H2" t="e">
        <f xml:space="preserve"> F:F*G:G</f>
        <v>#VALUE!</v>
      </c>
      <c r="I2" t="s">
        <v>3</v>
      </c>
      <c r="J2" t="s">
        <v>12</v>
      </c>
      <c r="K2" t="s">
        <v>13</v>
      </c>
      <c r="M2" t="s">
        <v>3</v>
      </c>
      <c r="N2" t="s">
        <v>20</v>
      </c>
      <c r="O2" t="s">
        <v>21</v>
      </c>
    </row>
    <row r="3" spans="1:15" x14ac:dyDescent="0.35">
      <c r="A3" t="s">
        <v>6</v>
      </c>
      <c r="B3">
        <v>41</v>
      </c>
      <c r="C3">
        <v>16.329999999999998</v>
      </c>
      <c r="D3">
        <f t="shared" ref="D3:D12" si="0" xml:space="preserve"> B:B*C:C</f>
        <v>669.53</v>
      </c>
      <c r="E3">
        <v>1123</v>
      </c>
      <c r="F3">
        <v>41</v>
      </c>
      <c r="G3">
        <v>16</v>
      </c>
      <c r="H3">
        <f t="shared" ref="H3:H12" si="1" xml:space="preserve"> F:F*G:G</f>
        <v>656</v>
      </c>
      <c r="I3">
        <v>1079</v>
      </c>
      <c r="J3">
        <v>41</v>
      </c>
      <c r="K3">
        <v>18</v>
      </c>
      <c r="L3">
        <f t="shared" ref="L3:L12" si="2" xml:space="preserve"> J:J*K:K</f>
        <v>738</v>
      </c>
      <c r="M3">
        <v>1050</v>
      </c>
      <c r="N3">
        <f xml:space="preserve"> H3/L3</f>
        <v>0.88888888888888884</v>
      </c>
      <c r="O3">
        <f>I3/M3</f>
        <v>1.0276190476190477</v>
      </c>
    </row>
    <row r="4" spans="1:15" x14ac:dyDescent="0.35">
      <c r="A4" t="s">
        <v>7</v>
      </c>
      <c r="B4">
        <v>33</v>
      </c>
      <c r="C4">
        <v>46</v>
      </c>
      <c r="D4">
        <f t="shared" si="0"/>
        <v>1518</v>
      </c>
      <c r="E4">
        <v>2604</v>
      </c>
      <c r="F4">
        <v>33</v>
      </c>
      <c r="G4">
        <v>44.67</v>
      </c>
      <c r="H4">
        <f t="shared" si="1"/>
        <v>1474.1100000000001</v>
      </c>
      <c r="I4">
        <v>2594</v>
      </c>
      <c r="J4">
        <v>32</v>
      </c>
      <c r="K4">
        <v>72.33</v>
      </c>
      <c r="L4">
        <f t="shared" si="2"/>
        <v>2314.56</v>
      </c>
      <c r="M4">
        <v>2546</v>
      </c>
      <c r="N4">
        <f t="shared" ref="N4:N12" si="3" xml:space="preserve"> H4/L4</f>
        <v>0.63688562836997109</v>
      </c>
      <c r="O4">
        <f t="shared" ref="O4:O12" si="4">I4/M4</f>
        <v>1.01885310290652</v>
      </c>
    </row>
    <row r="5" spans="1:15" x14ac:dyDescent="0.35">
      <c r="A5" t="s">
        <v>8</v>
      </c>
      <c r="B5">
        <v>42</v>
      </c>
      <c r="C5">
        <v>67</v>
      </c>
      <c r="D5">
        <f t="shared" si="0"/>
        <v>2814</v>
      </c>
      <c r="E5">
        <v>2172</v>
      </c>
      <c r="F5">
        <v>45</v>
      </c>
      <c r="G5">
        <v>38</v>
      </c>
      <c r="H5">
        <f t="shared" si="1"/>
        <v>1710</v>
      </c>
      <c r="I5">
        <v>1729</v>
      </c>
      <c r="J5">
        <v>42</v>
      </c>
      <c r="K5">
        <v>43.33</v>
      </c>
      <c r="L5">
        <f t="shared" si="2"/>
        <v>1819.86</v>
      </c>
      <c r="M5">
        <v>2048</v>
      </c>
      <c r="N5">
        <f t="shared" si="3"/>
        <v>0.93963271900036272</v>
      </c>
      <c r="O5">
        <f t="shared" si="4"/>
        <v>0.84423828125</v>
      </c>
    </row>
    <row r="6" spans="1:15" x14ac:dyDescent="0.35">
      <c r="A6" t="s">
        <v>9</v>
      </c>
      <c r="B6">
        <v>33</v>
      </c>
      <c r="C6">
        <v>44.67</v>
      </c>
      <c r="D6">
        <f t="shared" si="0"/>
        <v>1474.1100000000001</v>
      </c>
      <c r="E6">
        <v>2685</v>
      </c>
      <c r="F6">
        <v>33</v>
      </c>
      <c r="G6">
        <v>44.67</v>
      </c>
      <c r="H6">
        <f t="shared" si="1"/>
        <v>1474.1100000000001</v>
      </c>
      <c r="I6">
        <v>2679</v>
      </c>
      <c r="J6">
        <v>32</v>
      </c>
      <c r="K6">
        <v>72.33</v>
      </c>
      <c r="L6">
        <f t="shared" si="2"/>
        <v>2314.56</v>
      </c>
      <c r="M6">
        <v>2551</v>
      </c>
      <c r="N6">
        <f t="shared" si="3"/>
        <v>0.63688562836997109</v>
      </c>
      <c r="O6">
        <f t="shared" si="4"/>
        <v>1.0501764014112114</v>
      </c>
    </row>
    <row r="7" spans="1:15" x14ac:dyDescent="0.35">
      <c r="A7" t="s">
        <v>10</v>
      </c>
      <c r="B7">
        <v>39</v>
      </c>
      <c r="C7">
        <v>37.33</v>
      </c>
      <c r="D7">
        <f t="shared" si="0"/>
        <v>1455.87</v>
      </c>
      <c r="E7">
        <v>2462</v>
      </c>
      <c r="F7">
        <v>39</v>
      </c>
      <c r="G7">
        <v>33</v>
      </c>
      <c r="H7">
        <f t="shared" si="1"/>
        <v>1287</v>
      </c>
      <c r="I7">
        <v>2310</v>
      </c>
      <c r="J7">
        <v>38</v>
      </c>
      <c r="K7">
        <v>40.33</v>
      </c>
      <c r="L7">
        <f t="shared" si="2"/>
        <v>1532.54</v>
      </c>
      <c r="M7">
        <v>2269</v>
      </c>
      <c r="N7">
        <f t="shared" si="3"/>
        <v>0.83978232215798609</v>
      </c>
      <c r="O7">
        <f t="shared" si="4"/>
        <v>1.0180696342000881</v>
      </c>
    </row>
    <row r="8" spans="1:15" x14ac:dyDescent="0.35">
      <c r="A8" t="s">
        <v>11</v>
      </c>
      <c r="B8">
        <v>31</v>
      </c>
      <c r="C8">
        <v>66.67</v>
      </c>
      <c r="D8">
        <f t="shared" si="0"/>
        <v>2066.77</v>
      </c>
      <c r="E8">
        <v>3317</v>
      </c>
      <c r="F8">
        <v>31</v>
      </c>
      <c r="G8">
        <v>66.67</v>
      </c>
      <c r="H8">
        <f t="shared" si="1"/>
        <v>2066.77</v>
      </c>
      <c r="I8">
        <v>1978</v>
      </c>
      <c r="J8">
        <v>30</v>
      </c>
      <c r="K8">
        <v>69.33</v>
      </c>
      <c r="L8">
        <f t="shared" si="2"/>
        <v>2079.9</v>
      </c>
      <c r="M8">
        <v>1880</v>
      </c>
      <c r="N8">
        <f t="shared" si="3"/>
        <v>0.99368719649983162</v>
      </c>
      <c r="O8">
        <f t="shared" si="4"/>
        <v>1.0521276595744682</v>
      </c>
    </row>
    <row r="9" spans="1:15" x14ac:dyDescent="0.35">
      <c r="A9" t="s">
        <v>15</v>
      </c>
      <c r="B9">
        <v>22</v>
      </c>
      <c r="C9">
        <v>5.67</v>
      </c>
      <c r="D9">
        <f t="shared" si="0"/>
        <v>124.74</v>
      </c>
      <c r="E9">
        <v>179</v>
      </c>
      <c r="F9">
        <v>22</v>
      </c>
      <c r="G9">
        <v>5.67</v>
      </c>
      <c r="H9">
        <f t="shared" si="1"/>
        <v>124.74</v>
      </c>
      <c r="I9">
        <v>179</v>
      </c>
      <c r="J9">
        <v>19</v>
      </c>
      <c r="K9">
        <v>8</v>
      </c>
      <c r="L9">
        <f t="shared" si="2"/>
        <v>152</v>
      </c>
      <c r="M9">
        <v>126</v>
      </c>
      <c r="N9">
        <f t="shared" si="3"/>
        <v>0.82065789473684203</v>
      </c>
      <c r="O9">
        <f t="shared" si="4"/>
        <v>1.4206349206349207</v>
      </c>
    </row>
    <row r="10" spans="1:15" x14ac:dyDescent="0.35">
      <c r="A10" t="s">
        <v>16</v>
      </c>
      <c r="B10">
        <v>28</v>
      </c>
      <c r="C10">
        <v>11</v>
      </c>
      <c r="D10">
        <f t="shared" si="0"/>
        <v>308</v>
      </c>
      <c r="E10">
        <v>444</v>
      </c>
      <c r="F10">
        <v>28</v>
      </c>
      <c r="G10">
        <v>11</v>
      </c>
      <c r="H10">
        <f t="shared" si="1"/>
        <v>308</v>
      </c>
      <c r="I10">
        <v>444</v>
      </c>
      <c r="J10">
        <v>25</v>
      </c>
      <c r="K10">
        <v>16</v>
      </c>
      <c r="L10">
        <f t="shared" si="2"/>
        <v>400</v>
      </c>
      <c r="M10">
        <v>304</v>
      </c>
      <c r="N10">
        <f t="shared" si="3"/>
        <v>0.77</v>
      </c>
      <c r="O10">
        <f t="shared" si="4"/>
        <v>1.4605263157894737</v>
      </c>
    </row>
    <row r="11" spans="1:15" x14ac:dyDescent="0.35">
      <c r="A11" t="s">
        <v>17</v>
      </c>
      <c r="B11">
        <v>35</v>
      </c>
      <c r="C11">
        <v>22</v>
      </c>
      <c r="D11">
        <f t="shared" si="0"/>
        <v>770</v>
      </c>
      <c r="E11">
        <v>902</v>
      </c>
      <c r="F11">
        <v>35</v>
      </c>
      <c r="G11">
        <v>22</v>
      </c>
      <c r="H11">
        <f t="shared" si="1"/>
        <v>770</v>
      </c>
      <c r="I11">
        <v>902</v>
      </c>
      <c r="J11">
        <v>32</v>
      </c>
      <c r="K11">
        <v>32</v>
      </c>
      <c r="L11">
        <f t="shared" si="2"/>
        <v>1024</v>
      </c>
      <c r="M11">
        <v>680</v>
      </c>
      <c r="N11">
        <f t="shared" si="3"/>
        <v>0.751953125</v>
      </c>
      <c r="O11">
        <f t="shared" si="4"/>
        <v>1.3264705882352941</v>
      </c>
    </row>
    <row r="12" spans="1:15" x14ac:dyDescent="0.35">
      <c r="A12" t="s">
        <v>18</v>
      </c>
      <c r="B12">
        <v>43</v>
      </c>
      <c r="C12">
        <v>44</v>
      </c>
      <c r="D12">
        <f t="shared" si="0"/>
        <v>1892</v>
      </c>
      <c r="E12">
        <v>1934</v>
      </c>
      <c r="F12">
        <v>43</v>
      </c>
      <c r="G12">
        <v>44</v>
      </c>
      <c r="H12">
        <f t="shared" si="1"/>
        <v>1892</v>
      </c>
      <c r="I12">
        <v>1934</v>
      </c>
      <c r="J12">
        <v>40</v>
      </c>
      <c r="K12">
        <v>64</v>
      </c>
      <c r="L12">
        <f t="shared" si="2"/>
        <v>2560</v>
      </c>
      <c r="M12">
        <v>1452</v>
      </c>
      <c r="N12">
        <f t="shared" si="3"/>
        <v>0.73906249999999996</v>
      </c>
      <c r="O12">
        <f t="shared" si="4"/>
        <v>1.3319559228650137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秦羿旸</dc:creator>
  <cp:lastModifiedBy>羿旸 秦</cp:lastModifiedBy>
  <dcterms:created xsi:type="dcterms:W3CDTF">2015-06-05T18:19:34Z</dcterms:created>
  <dcterms:modified xsi:type="dcterms:W3CDTF">2025-06-03T16:25:07Z</dcterms:modified>
</cp:coreProperties>
</file>